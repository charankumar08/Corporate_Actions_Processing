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ra\Desktop\IB ops projects\"/>
    </mc:Choice>
  </mc:AlternateContent>
  <xr:revisionPtr revIDLastSave="0" documentId="13_ncr:1_{8781FBE5-0AB7-4CBF-B8D3-078340C3CC28}" xr6:coauthVersionLast="47" xr6:coauthVersionMax="47" xr10:uidLastSave="{00000000-0000-0000-0000-000000000000}"/>
  <bookViews>
    <workbookView xWindow="-108" yWindow="-108" windowWidth="23256" windowHeight="12456" activeTab="2" xr2:uid="{00DCA659-46AF-4D8B-89AF-0A10E462A94F}"/>
  </bookViews>
  <sheets>
    <sheet name="Before Corporate Actions" sheetId="1" r:id="rId1"/>
    <sheet name="Corporate Actions" sheetId="2" r:id="rId2"/>
    <sheet name="After Corporate Action" sheetId="3" r:id="rId3"/>
  </sheets>
  <definedNames>
    <definedName name="_xlnm._FilterDatabase" localSheetId="2" hidden="1">'After Corporate Action'!$A$4:$L$4</definedName>
    <definedName name="_xlnm._FilterDatabase" localSheetId="0" hidden="1">'Before Corporate Actions'!$A$4:$I$4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0" i="3" l="1"/>
  <c r="K19" i="3"/>
  <c r="J19" i="3"/>
  <c r="L19" i="3" s="1"/>
  <c r="K16" i="3"/>
  <c r="J16" i="3"/>
  <c r="J8" i="3"/>
  <c r="L8" i="3" s="1"/>
  <c r="K7" i="3"/>
  <c r="K5" i="3"/>
  <c r="J5" i="3"/>
  <c r="J7" i="3"/>
  <c r="I24" i="3"/>
  <c r="J22" i="3" s="1"/>
  <c r="L22" i="3" s="1"/>
  <c r="I23" i="3"/>
  <c r="I22" i="3"/>
  <c r="I21" i="3"/>
  <c r="I20" i="3"/>
  <c r="I19" i="3"/>
  <c r="I18" i="3"/>
  <c r="I17" i="3"/>
  <c r="I16" i="3"/>
  <c r="I15" i="3"/>
  <c r="L15" i="3" s="1"/>
  <c r="I14" i="3"/>
  <c r="I13" i="3"/>
  <c r="I12" i="3"/>
  <c r="I11" i="3"/>
  <c r="I10" i="3"/>
  <c r="I9" i="3"/>
  <c r="L9" i="3" s="1"/>
  <c r="I8" i="3"/>
  <c r="I7" i="3"/>
  <c r="I6" i="3"/>
  <c r="L6" i="3" s="1"/>
  <c r="I5" i="3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5" i="1"/>
  <c r="L5" i="3" l="1"/>
  <c r="L7" i="3"/>
  <c r="L16" i="3"/>
</calcChain>
</file>

<file path=xl/sharedStrings.xml><?xml version="1.0" encoding="utf-8"?>
<sst xmlns="http://schemas.openxmlformats.org/spreadsheetml/2006/main" count="309" uniqueCount="126">
  <si>
    <t>Security Name</t>
  </si>
  <si>
    <t>Ticker</t>
  </si>
  <si>
    <t>ISIN</t>
  </si>
  <si>
    <t>Country</t>
  </si>
  <si>
    <t>Asset Class</t>
  </si>
  <si>
    <t>Shares Held</t>
  </si>
  <si>
    <t>Price</t>
  </si>
  <si>
    <t>Total Value</t>
  </si>
  <si>
    <t>Apple</t>
  </si>
  <si>
    <t>AAPL</t>
  </si>
  <si>
    <t>US0378331005</t>
  </si>
  <si>
    <t>Equity</t>
  </si>
  <si>
    <t>RELIANCE</t>
  </si>
  <si>
    <t>INE002A01018</t>
  </si>
  <si>
    <t>India</t>
  </si>
  <si>
    <t>Reliance Industries</t>
  </si>
  <si>
    <t>HDFC Bank</t>
  </si>
  <si>
    <t>Infosys</t>
  </si>
  <si>
    <t>Tata Motors</t>
  </si>
  <si>
    <t>ICICI Bank</t>
  </si>
  <si>
    <t>ITC</t>
  </si>
  <si>
    <t>Wipro</t>
  </si>
  <si>
    <t>Bharti Airtel</t>
  </si>
  <si>
    <t>Adani Enterprises</t>
  </si>
  <si>
    <t>State Bank of India</t>
  </si>
  <si>
    <t>Microsoft</t>
  </si>
  <si>
    <t>Amazon</t>
  </si>
  <si>
    <t>Alphabet (Google)</t>
  </si>
  <si>
    <t>Tesla</t>
  </si>
  <si>
    <t>Meta Platforms</t>
  </si>
  <si>
    <t>Walmart</t>
  </si>
  <si>
    <t>JPMorgan Chase</t>
  </si>
  <si>
    <t>Coca-Cola</t>
  </si>
  <si>
    <t>Netflix</t>
  </si>
  <si>
    <t>HDFCBANK</t>
  </si>
  <si>
    <t>INFY</t>
  </si>
  <si>
    <t>TATAMOTORS</t>
  </si>
  <si>
    <t>ICICIBANK</t>
  </si>
  <si>
    <t>WIPRO</t>
  </si>
  <si>
    <t>AIRTEL</t>
  </si>
  <si>
    <t>ADANIENT</t>
  </si>
  <si>
    <t>SBIN</t>
  </si>
  <si>
    <t>MSFT</t>
  </si>
  <si>
    <t>AMZN</t>
  </si>
  <si>
    <t>GOOGL</t>
  </si>
  <si>
    <t>TSLA</t>
  </si>
  <si>
    <t>META</t>
  </si>
  <si>
    <t>WMT</t>
  </si>
  <si>
    <t>JPM</t>
  </si>
  <si>
    <t>KO</t>
  </si>
  <si>
    <t>NFLX</t>
  </si>
  <si>
    <t>INE001A01036</t>
  </si>
  <si>
    <t>INE009A01021</t>
  </si>
  <si>
    <t>INE155A01022</t>
  </si>
  <si>
    <t>INE090A01021</t>
  </si>
  <si>
    <t>INE154A01025</t>
  </si>
  <si>
    <t>INE075A01022</t>
  </si>
  <si>
    <t>INE397D01024</t>
  </si>
  <si>
    <t>INE423A01024</t>
  </si>
  <si>
    <t>INE062A01020</t>
  </si>
  <si>
    <t>US5949181045</t>
  </si>
  <si>
    <t>US0231351067</t>
  </si>
  <si>
    <t>US02079K3059</t>
  </si>
  <si>
    <t>US88160R1014</t>
  </si>
  <si>
    <t>US30303M1027</t>
  </si>
  <si>
    <t>US9311421039</t>
  </si>
  <si>
    <t>US46625H1005</t>
  </si>
  <si>
    <t>US1912161007</t>
  </si>
  <si>
    <t>US64110L1061</t>
  </si>
  <si>
    <t>US</t>
  </si>
  <si>
    <t>Energy / Conglomerate</t>
  </si>
  <si>
    <t>Banking</t>
  </si>
  <si>
    <t>Information Technology</t>
  </si>
  <si>
    <t>Automotive</t>
  </si>
  <si>
    <t>FMCG &amp; Tobacco</t>
  </si>
  <si>
    <t>Telecom</t>
  </si>
  <si>
    <t>Infrastructure / Conglomerate</t>
  </si>
  <si>
    <t>Technology / Consumer Electronics</t>
  </si>
  <si>
    <t>Technology / Software</t>
  </si>
  <si>
    <t>E-Commerce / Cloud</t>
  </si>
  <si>
    <t>Technology / Internet</t>
  </si>
  <si>
    <t>Automotive / EV</t>
  </si>
  <si>
    <t>Social Media / Technology</t>
  </si>
  <si>
    <t>Retail / Consumer</t>
  </si>
  <si>
    <t>Banking / Financial Services</t>
  </si>
  <si>
    <t>Beverages / Consumer</t>
  </si>
  <si>
    <t>Entertainment / Streaming</t>
  </si>
  <si>
    <t>Sector</t>
  </si>
  <si>
    <t>Stock Split</t>
  </si>
  <si>
    <t>Share count increases, price adjusts</t>
  </si>
  <si>
    <t>Dividend</t>
  </si>
  <si>
    <t>₹25 per share</t>
  </si>
  <si>
    <t>Cash dividend payout</t>
  </si>
  <si>
    <t>Bonus Issue</t>
  </si>
  <si>
    <t>Free shares issued to shareholders</t>
  </si>
  <si>
    <t>Rights Issue</t>
  </si>
  <si>
    <t>Holders can buy additional shares</t>
  </si>
  <si>
    <t>₹18 per share</t>
  </si>
  <si>
    <t>$10 per share</t>
  </si>
  <si>
    <t>3 shares for every 1 share</t>
  </si>
  <si>
    <t>Reverse Split</t>
  </si>
  <si>
    <t>Share count decreases, price increases</t>
  </si>
  <si>
    <t>Name Change</t>
  </si>
  <si>
    <t>META → META Platforms</t>
  </si>
  <si>
    <t>Ticker &amp; name update only</t>
  </si>
  <si>
    <t>Merger</t>
  </si>
  <si>
    <t>Holdings of Netflix absorbed into JPM</t>
  </si>
  <si>
    <t>Action Detail</t>
  </si>
  <si>
    <t>Effective Date</t>
  </si>
  <si>
    <t>Notes</t>
  </si>
  <si>
    <t>1:2</t>
  </si>
  <si>
    <t>1:1</t>
  </si>
  <si>
    <t>1:3</t>
  </si>
  <si>
    <t>5:1</t>
  </si>
  <si>
    <t>3 shares at @30% discount</t>
  </si>
  <si>
    <t>JPM acquires NFLX</t>
  </si>
  <si>
    <t xml:space="preserve"> Action Type</t>
  </si>
  <si>
    <t>SharesHeld (Before)</t>
  </si>
  <si>
    <t>Price (Before)</t>
  </si>
  <si>
    <t>Total Value (Before)</t>
  </si>
  <si>
    <t>Price (After)</t>
  </si>
  <si>
    <t>Total Value (After)</t>
  </si>
  <si>
    <t>SharesHeld  (After)</t>
  </si>
  <si>
    <t>After Corporate Action</t>
  </si>
  <si>
    <t>Corporate Actions</t>
  </si>
  <si>
    <t>Before Corporate 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</si>
</sst>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[$$-45C]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1" xfId="0" applyBorder="1"/>
    <xf numFmtId="0" fontId="1" fillId="4" borderId="1" xfId="0" applyFont="1" applyFill="1" applyBorder="1" applyAlignment="1">
      <alignment wrapText="1"/>
    </xf>
    <xf numFmtId="20" fontId="0" fillId="0" borderId="1" xfId="0" quotePrefix="1" applyNumberFormat="1" applyBorder="1" applyAlignment="1">
      <alignment wrapText="1"/>
    </xf>
    <xf numFmtId="14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2" xfId="0" applyBorder="1"/>
    <xf numFmtId="0" fontId="0" fillId="2" borderId="2" xfId="0" applyFill="1" applyBorder="1"/>
    <xf numFmtId="0" fontId="0" fillId="3" borderId="2" xfId="0" applyFill="1" applyBorder="1"/>
    <xf numFmtId="0" fontId="0" fillId="0" borderId="3" xfId="0" applyBorder="1"/>
    <xf numFmtId="164" fontId="0" fillId="2" borderId="4" xfId="0" applyNumberFormat="1" applyFill="1" applyBorder="1"/>
    <xf numFmtId="164" fontId="0" fillId="2" borderId="4" xfId="0" quotePrefix="1" applyNumberFormat="1" applyFill="1" applyBorder="1"/>
    <xf numFmtId="164" fontId="0" fillId="0" borderId="4" xfId="0" applyNumberFormat="1" applyBorder="1"/>
    <xf numFmtId="165" fontId="0" fillId="3" borderId="4" xfId="0" applyNumberFormat="1" applyFill="1" applyBorder="1"/>
    <xf numFmtId="165" fontId="0" fillId="0" borderId="4" xfId="0" applyNumberFormat="1" applyBorder="1"/>
    <xf numFmtId="0" fontId="0" fillId="0" borderId="8" xfId="0" applyBorder="1"/>
    <xf numFmtId="0" fontId="0" fillId="0" borderId="9" xfId="0" applyBorder="1"/>
    <xf numFmtId="0" fontId="0" fillId="3" borderId="9" xfId="0" applyFill="1" applyBorder="1"/>
    <xf numFmtId="165" fontId="0" fillId="3" borderId="10" xfId="0" applyNumberFormat="1" applyFill="1" applyBorder="1"/>
    <xf numFmtId="0" fontId="0" fillId="0" borderId="10" xfId="0" applyBorder="1"/>
    <xf numFmtId="0" fontId="0" fillId="0" borderId="4" xfId="0" applyBorder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5" borderId="7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2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/>
        <bottom/>
      </border>
    </dxf>
    <dxf>
      <border diagonalUp="0" diagonalDown="0">
        <left style="thick">
          <color indexed="64"/>
        </left>
        <right/>
        <top style="thick">
          <color indexed="64"/>
        </top>
        <bottom style="thick">
          <color indexed="64"/>
        </bottom>
        <vertical/>
        <horizontal/>
      </border>
    </dxf>
    <dxf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/>
        <horizontal/>
      </border>
    </dxf>
    <dxf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/>
        <horizontal/>
      </border>
    </dxf>
    <dxf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/>
        <horizontal/>
      </border>
    </dxf>
    <dxf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/>
        <horizontal/>
      </border>
    </dxf>
    <dxf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/>
        <horizontal/>
      </border>
    </dxf>
    <dxf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/>
        <horizontal/>
      </border>
    </dxf>
    <dxf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/>
        <horizontal/>
      </border>
    </dxf>
    <dxf>
      <border diagonalUp="0" diagonalDown="0">
        <left/>
        <right style="thick">
          <color indexed="64"/>
        </right>
        <top style="thick">
          <color indexed="64"/>
        </top>
        <bottom style="thick">
          <color indexed="64"/>
        </bottom>
        <vertical/>
        <horizontal/>
      </border>
    </dxf>
    <dxf>
      <border outline="0">
        <top style="thick">
          <color indexed="64"/>
        </top>
      </border>
    </dxf>
    <dxf>
      <border outline="0">
        <bottom style="thick">
          <color indexed="64"/>
        </bottom>
      </border>
    </dxf>
    <dxf>
      <border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numFmt numFmtId="165" formatCode="[$$-45C]#,##0.00"/>
      <fill>
        <patternFill patternType="solid">
          <fgColor indexed="64"/>
          <bgColor theme="8" tint="0.39997558519241921"/>
        </patternFill>
      </fill>
      <border diagonalUp="0" diagonalDown="0">
        <left style="thick">
          <color indexed="64"/>
        </left>
        <right/>
        <top style="thick">
          <color indexed="64"/>
        </top>
        <bottom style="thick">
          <color indexed="64"/>
        </bottom>
        <vertical/>
        <horizontal/>
      </border>
    </dxf>
    <dxf>
      <fill>
        <patternFill patternType="solid">
          <fgColor indexed="64"/>
          <bgColor theme="8" tint="0.39997558519241921"/>
        </patternFill>
      </fill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/>
        <horizontal/>
      </border>
    </dxf>
    <dxf>
      <fill>
        <patternFill patternType="solid">
          <fgColor indexed="64"/>
          <bgColor theme="8" tint="0.39997558519241921"/>
        </patternFill>
      </fill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/>
        <horizontal/>
      </border>
    </dxf>
    <dxf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/>
        <horizontal/>
      </border>
    </dxf>
    <dxf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/>
        <horizontal/>
      </border>
    </dxf>
    <dxf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/>
        <horizontal/>
      </border>
    </dxf>
    <dxf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/>
        <horizontal/>
      </border>
    </dxf>
    <dxf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/>
        <horizontal/>
      </border>
    </dxf>
    <dxf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/>
        <horizontal/>
      </border>
    </dxf>
    <dxf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/>
        <horizontal/>
      </border>
    </dxf>
    <dxf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/>
        <horizontal/>
      </border>
    </dxf>
    <dxf>
      <border diagonalUp="0" diagonalDown="0">
        <left/>
        <right style="thick">
          <color indexed="64"/>
        </right>
        <top style="thick">
          <color indexed="64"/>
        </top>
        <bottom style="thick">
          <color indexed="64"/>
        </bottom>
        <vertical/>
        <horizontal/>
      </border>
    </dxf>
    <dxf>
      <border outline="0">
        <top style="thick">
          <color indexed="64"/>
        </top>
      </border>
    </dxf>
    <dxf>
      <border outline="0">
        <bottom style="thick">
          <color indexed="64"/>
        </bottom>
      </border>
    </dxf>
    <dxf>
      <border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388BA73-DCFF-44B7-8027-FB82986BB937}" name="Table3" displayName="Table3" ref="A4:I24" totalsRowShown="0" headerRowDxfId="1" headerRowBorderDxfId="12" tableBorderDxfId="13" totalsRowBorderDxfId="11">
  <autoFilter ref="A4:I24" xr:uid="{A388BA73-DCFF-44B7-8027-FB82986BB937}"/>
  <tableColumns count="9">
    <tableColumn id="1" xr3:uid="{56C0EEDB-464F-48AF-9C7A-A36ABF23D142}" name="Security Name" dataDxfId="10"/>
    <tableColumn id="2" xr3:uid="{B68D536F-CE4C-4867-87EA-989813014E9E}" name="Ticker" dataDxfId="9"/>
    <tableColumn id="3" xr3:uid="{074EB047-F824-4B49-BD3A-F63CAFA3C42A}" name="ISIN" dataDxfId="8"/>
    <tableColumn id="4" xr3:uid="{90C83009-6414-4610-905E-B8702B966681}" name="Country" dataDxfId="7"/>
    <tableColumn id="5" xr3:uid="{8695CC48-5CF7-4D2E-B252-BB3A5922616C}" name="Asset Class" dataDxfId="6"/>
    <tableColumn id="6" xr3:uid="{F9046070-29D1-4339-A742-629911943B55}" name="Shares Held" dataDxfId="5"/>
    <tableColumn id="7" xr3:uid="{1A1857D2-7328-483D-B721-64E31DE7C824}" name="Price" dataDxfId="4"/>
    <tableColumn id="8" xr3:uid="{80A0AD84-58A4-470C-A584-762AD4EA1F1F}" name="Total Value" dataDxfId="3">
      <calculatedColumnFormula>F5*G5</calculatedColumnFormula>
    </tableColumn>
    <tableColumn id="9" xr3:uid="{E5EB364C-52A0-4636-A824-C2C4B7C4346D}" name="Sector" dataDxfId="2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5A89A2-4149-4350-86F4-36F5990027C1}" name="Table2" displayName="Table2" ref="A4:L24" totalsRowShown="0" headerRowDxfId="0" headerRowBorderDxfId="27" tableBorderDxfId="28" totalsRowBorderDxfId="26">
  <autoFilter ref="A4:L24" xr:uid="{715A89A2-4149-4350-86F4-36F5990027C1}"/>
  <tableColumns count="12">
    <tableColumn id="1" xr3:uid="{D655B7E5-9D02-4C3F-9737-2546737D4764}" name="Security Name" dataDxfId="25"/>
    <tableColumn id="2" xr3:uid="{98BA2CAD-6018-4FF1-A5A3-A1C642120A8F}" name="Ticker" dataDxfId="24"/>
    <tableColumn id="3" xr3:uid="{EFFBD6C2-5034-4D00-9609-AF537BE7A957}" name="ISIN" dataDxfId="23"/>
    <tableColumn id="4" xr3:uid="{8CF2B4E0-4910-4F1C-A1C5-46D3EC93D17A}" name="Country" dataDxfId="22"/>
    <tableColumn id="5" xr3:uid="{A5D44E13-C23D-40F9-A848-9C2440639A8C}" name="Asset Class" dataDxfId="21"/>
    <tableColumn id="6" xr3:uid="{A6B9E559-6154-4DB8-83C2-3FACF71D5411}" name="Sector" dataDxfId="20"/>
    <tableColumn id="7" xr3:uid="{F94724AB-10F7-448F-B7BF-7025E05E45DD}" name="SharesHeld (Before)" dataDxfId="19"/>
    <tableColumn id="8" xr3:uid="{519465D1-0FDC-4321-8355-4D8BEA11329F}" name="Price (Before)" dataDxfId="18"/>
    <tableColumn id="9" xr3:uid="{EBEE8597-9954-4CC5-AD4A-41E40874FC6F}" name="Total Value (Before)" dataDxfId="17">
      <calculatedColumnFormula>G5*H5</calculatedColumnFormula>
    </tableColumn>
    <tableColumn id="10" xr3:uid="{C8347B64-7621-4572-84B7-8C5A309F6A01}" name="SharesHeld  (After)" dataDxfId="16"/>
    <tableColumn id="11" xr3:uid="{31B335AE-25A2-4792-A739-0410D4ADC38F}" name="Price (After)" dataDxfId="15"/>
    <tableColumn id="12" xr3:uid="{F75C7F78-1266-4CF7-8204-417FAD85754A}" name="Total Value (After)" dataDxfId="14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C3EF6-AAF3-4D26-A5E8-07CEDC36F247}">
  <dimension ref="A2:I24"/>
  <sheetViews>
    <sheetView showGridLines="0" topLeftCell="A11" workbookViewId="0">
      <selection activeCell="A5" sqref="A5:I5"/>
    </sheetView>
  </sheetViews>
  <sheetFormatPr defaultRowHeight="14.4" x14ac:dyDescent="0.3"/>
  <cols>
    <col min="1" max="1" width="16.21875" customWidth="1"/>
    <col min="2" max="2" width="13" customWidth="1"/>
    <col min="3" max="3" width="17.6640625" customWidth="1"/>
    <col min="4" max="4" width="15.33203125" customWidth="1"/>
    <col min="5" max="5" width="13.77734375" customWidth="1"/>
    <col min="6" max="6" width="15.88671875" customWidth="1"/>
    <col min="7" max="7" width="11.77734375" customWidth="1"/>
    <col min="8" max="8" width="17.109375" customWidth="1"/>
    <col min="9" max="9" width="29" customWidth="1"/>
  </cols>
  <sheetData>
    <row r="2" spans="1:9" ht="23.4" x14ac:dyDescent="0.3">
      <c r="D2" s="23" t="s">
        <v>125</v>
      </c>
      <c r="F2" s="25"/>
    </row>
    <row r="4" spans="1:9" ht="15" thickBot="1" x14ac:dyDescent="0.35">
      <c r="A4" s="27" t="s">
        <v>0</v>
      </c>
      <c r="B4" s="28" t="s">
        <v>1</v>
      </c>
      <c r="C4" s="28" t="s">
        <v>2</v>
      </c>
      <c r="D4" s="28" t="s">
        <v>3</v>
      </c>
      <c r="E4" s="28" t="s">
        <v>4</v>
      </c>
      <c r="F4" s="28" t="s">
        <v>5</v>
      </c>
      <c r="G4" s="28" t="s">
        <v>6</v>
      </c>
      <c r="H4" s="28" t="s">
        <v>7</v>
      </c>
      <c r="I4" s="26" t="s">
        <v>87</v>
      </c>
    </row>
    <row r="5" spans="1:9" ht="15.6" thickTop="1" thickBot="1" x14ac:dyDescent="0.35">
      <c r="A5" s="11" t="s">
        <v>15</v>
      </c>
      <c r="B5" s="8" t="s">
        <v>12</v>
      </c>
      <c r="C5" s="8" t="s">
        <v>13</v>
      </c>
      <c r="D5" s="8" t="s">
        <v>14</v>
      </c>
      <c r="E5" s="8" t="s">
        <v>11</v>
      </c>
      <c r="F5" s="8">
        <v>22</v>
      </c>
      <c r="G5" s="8">
        <v>2189</v>
      </c>
      <c r="H5" s="8">
        <f>F5*G5</f>
        <v>48158</v>
      </c>
      <c r="I5" s="22" t="s">
        <v>70</v>
      </c>
    </row>
    <row r="6" spans="1:9" ht="15.6" thickTop="1" thickBot="1" x14ac:dyDescent="0.35">
      <c r="A6" s="11" t="s">
        <v>16</v>
      </c>
      <c r="B6" s="8" t="s">
        <v>34</v>
      </c>
      <c r="C6" s="8" t="s">
        <v>51</v>
      </c>
      <c r="D6" s="8" t="s">
        <v>14</v>
      </c>
      <c r="E6" s="8" t="s">
        <v>11</v>
      </c>
      <c r="F6" s="8">
        <v>58</v>
      </c>
      <c r="G6" s="8">
        <v>2805</v>
      </c>
      <c r="H6" s="8">
        <f t="shared" ref="H6:H24" si="0">F6*G6</f>
        <v>162690</v>
      </c>
      <c r="I6" s="22" t="s">
        <v>71</v>
      </c>
    </row>
    <row r="7" spans="1:9" ht="15.6" thickTop="1" thickBot="1" x14ac:dyDescent="0.35">
      <c r="A7" s="11" t="s">
        <v>17</v>
      </c>
      <c r="B7" s="8" t="s">
        <v>35</v>
      </c>
      <c r="C7" s="8" t="s">
        <v>52</v>
      </c>
      <c r="D7" s="8" t="s">
        <v>14</v>
      </c>
      <c r="E7" s="8" t="s">
        <v>11</v>
      </c>
      <c r="F7" s="8">
        <v>116</v>
      </c>
      <c r="G7" s="8">
        <v>3113</v>
      </c>
      <c r="H7" s="8">
        <f t="shared" si="0"/>
        <v>361108</v>
      </c>
      <c r="I7" s="22" t="s">
        <v>72</v>
      </c>
    </row>
    <row r="8" spans="1:9" ht="15.6" thickTop="1" thickBot="1" x14ac:dyDescent="0.35">
      <c r="A8" s="11" t="s">
        <v>18</v>
      </c>
      <c r="B8" s="8" t="s">
        <v>36</v>
      </c>
      <c r="C8" s="8" t="s">
        <v>53</v>
      </c>
      <c r="D8" s="8" t="s">
        <v>14</v>
      </c>
      <c r="E8" s="8" t="s">
        <v>11</v>
      </c>
      <c r="F8" s="8">
        <v>100</v>
      </c>
      <c r="G8" s="8">
        <v>1506</v>
      </c>
      <c r="H8" s="8">
        <f t="shared" si="0"/>
        <v>150600</v>
      </c>
      <c r="I8" s="22" t="s">
        <v>73</v>
      </c>
    </row>
    <row r="9" spans="1:9" ht="15.6" thickTop="1" thickBot="1" x14ac:dyDescent="0.35">
      <c r="A9" s="11" t="s">
        <v>19</v>
      </c>
      <c r="B9" s="8" t="s">
        <v>37</v>
      </c>
      <c r="C9" s="8" t="s">
        <v>54</v>
      </c>
      <c r="D9" s="8" t="s">
        <v>14</v>
      </c>
      <c r="E9" s="8" t="s">
        <v>11</v>
      </c>
      <c r="F9" s="8">
        <v>57</v>
      </c>
      <c r="G9" s="8">
        <v>2267</v>
      </c>
      <c r="H9" s="8">
        <f t="shared" si="0"/>
        <v>129219</v>
      </c>
      <c r="I9" s="22" t="s">
        <v>71</v>
      </c>
    </row>
    <row r="10" spans="1:9" ht="15.6" thickTop="1" thickBot="1" x14ac:dyDescent="0.35">
      <c r="A10" s="11" t="s">
        <v>20</v>
      </c>
      <c r="B10" s="8" t="s">
        <v>20</v>
      </c>
      <c r="C10" s="8" t="s">
        <v>55</v>
      </c>
      <c r="D10" s="8" t="s">
        <v>14</v>
      </c>
      <c r="E10" s="8" t="s">
        <v>11</v>
      </c>
      <c r="F10" s="8">
        <v>27</v>
      </c>
      <c r="G10" s="8">
        <v>1118</v>
      </c>
      <c r="H10" s="8">
        <f t="shared" si="0"/>
        <v>30186</v>
      </c>
      <c r="I10" s="22" t="s">
        <v>74</v>
      </c>
    </row>
    <row r="11" spans="1:9" ht="15.6" thickTop="1" thickBot="1" x14ac:dyDescent="0.35">
      <c r="A11" s="11" t="s">
        <v>21</v>
      </c>
      <c r="B11" s="8" t="s">
        <v>38</v>
      </c>
      <c r="C11" s="8" t="s">
        <v>56</v>
      </c>
      <c r="D11" s="8" t="s">
        <v>14</v>
      </c>
      <c r="E11" s="8" t="s">
        <v>11</v>
      </c>
      <c r="F11" s="8">
        <v>76</v>
      </c>
      <c r="G11" s="8">
        <v>3060</v>
      </c>
      <c r="H11" s="8">
        <f t="shared" si="0"/>
        <v>232560</v>
      </c>
      <c r="I11" s="22" t="s">
        <v>72</v>
      </c>
    </row>
    <row r="12" spans="1:9" ht="15.6" thickTop="1" thickBot="1" x14ac:dyDescent="0.35">
      <c r="A12" s="11" t="s">
        <v>22</v>
      </c>
      <c r="B12" s="8" t="s">
        <v>39</v>
      </c>
      <c r="C12" s="8" t="s">
        <v>57</v>
      </c>
      <c r="D12" s="8" t="s">
        <v>14</v>
      </c>
      <c r="E12" s="8" t="s">
        <v>11</v>
      </c>
      <c r="F12" s="8">
        <v>40</v>
      </c>
      <c r="G12" s="8">
        <v>1289</v>
      </c>
      <c r="H12" s="8">
        <f t="shared" si="0"/>
        <v>51560</v>
      </c>
      <c r="I12" s="22" t="s">
        <v>75</v>
      </c>
    </row>
    <row r="13" spans="1:9" ht="15.6" thickTop="1" thickBot="1" x14ac:dyDescent="0.35">
      <c r="A13" s="11" t="s">
        <v>23</v>
      </c>
      <c r="B13" s="8" t="s">
        <v>40</v>
      </c>
      <c r="C13" s="8" t="s">
        <v>58</v>
      </c>
      <c r="D13" s="8" t="s">
        <v>14</v>
      </c>
      <c r="E13" s="8" t="s">
        <v>11</v>
      </c>
      <c r="F13" s="8">
        <v>64</v>
      </c>
      <c r="G13" s="8">
        <v>2819</v>
      </c>
      <c r="H13" s="8">
        <f t="shared" si="0"/>
        <v>180416</v>
      </c>
      <c r="I13" s="22" t="s">
        <v>76</v>
      </c>
    </row>
    <row r="14" spans="1:9" ht="15.6" thickTop="1" thickBot="1" x14ac:dyDescent="0.35">
      <c r="A14" s="11" t="s">
        <v>24</v>
      </c>
      <c r="B14" s="8" t="s">
        <v>41</v>
      </c>
      <c r="C14" s="8" t="s">
        <v>59</v>
      </c>
      <c r="D14" s="8" t="s">
        <v>14</v>
      </c>
      <c r="E14" s="8" t="s">
        <v>11</v>
      </c>
      <c r="F14" s="8">
        <v>43</v>
      </c>
      <c r="G14" s="8">
        <v>3203</v>
      </c>
      <c r="H14" s="8">
        <f t="shared" si="0"/>
        <v>137729</v>
      </c>
      <c r="I14" s="22" t="s">
        <v>71</v>
      </c>
    </row>
    <row r="15" spans="1:9" ht="15.6" thickTop="1" thickBot="1" x14ac:dyDescent="0.35">
      <c r="A15" s="11" t="s">
        <v>8</v>
      </c>
      <c r="B15" s="8" t="s">
        <v>9</v>
      </c>
      <c r="C15" s="8" t="s">
        <v>10</v>
      </c>
      <c r="D15" s="8" t="s">
        <v>69</v>
      </c>
      <c r="E15" s="8" t="s">
        <v>11</v>
      </c>
      <c r="F15" s="8">
        <v>117</v>
      </c>
      <c r="G15" s="8">
        <v>223</v>
      </c>
      <c r="H15" s="8">
        <f t="shared" si="0"/>
        <v>26091</v>
      </c>
      <c r="I15" s="22" t="s">
        <v>77</v>
      </c>
    </row>
    <row r="16" spans="1:9" ht="15.6" thickTop="1" thickBot="1" x14ac:dyDescent="0.35">
      <c r="A16" s="11" t="s">
        <v>25</v>
      </c>
      <c r="B16" s="8" t="s">
        <v>42</v>
      </c>
      <c r="C16" s="8" t="s">
        <v>60</v>
      </c>
      <c r="D16" s="8" t="s">
        <v>69</v>
      </c>
      <c r="E16" s="8" t="s">
        <v>11</v>
      </c>
      <c r="F16" s="8">
        <v>74</v>
      </c>
      <c r="G16" s="8">
        <v>367</v>
      </c>
      <c r="H16" s="8">
        <f t="shared" si="0"/>
        <v>27158</v>
      </c>
      <c r="I16" s="22" t="s">
        <v>78</v>
      </c>
    </row>
    <row r="17" spans="1:9" ht="15.6" thickTop="1" thickBot="1" x14ac:dyDescent="0.35">
      <c r="A17" s="11" t="s">
        <v>26</v>
      </c>
      <c r="B17" s="8" t="s">
        <v>43</v>
      </c>
      <c r="C17" s="8" t="s">
        <v>61</v>
      </c>
      <c r="D17" s="8" t="s">
        <v>69</v>
      </c>
      <c r="E17" s="8" t="s">
        <v>11</v>
      </c>
      <c r="F17" s="8">
        <v>37</v>
      </c>
      <c r="G17" s="8">
        <v>452</v>
      </c>
      <c r="H17" s="8">
        <f t="shared" si="0"/>
        <v>16724</v>
      </c>
      <c r="I17" s="22" t="s">
        <v>79</v>
      </c>
    </row>
    <row r="18" spans="1:9" ht="15.6" thickTop="1" thickBot="1" x14ac:dyDescent="0.35">
      <c r="A18" s="11" t="s">
        <v>27</v>
      </c>
      <c r="B18" s="8" t="s">
        <v>44</v>
      </c>
      <c r="C18" s="8" t="s">
        <v>62</v>
      </c>
      <c r="D18" s="8" t="s">
        <v>69</v>
      </c>
      <c r="E18" s="8" t="s">
        <v>11</v>
      </c>
      <c r="F18" s="8">
        <v>37</v>
      </c>
      <c r="G18" s="8">
        <v>540</v>
      </c>
      <c r="H18" s="8">
        <f t="shared" si="0"/>
        <v>19980</v>
      </c>
      <c r="I18" s="22" t="s">
        <v>80</v>
      </c>
    </row>
    <row r="19" spans="1:9" ht="15.6" thickTop="1" thickBot="1" x14ac:dyDescent="0.35">
      <c r="A19" s="11" t="s">
        <v>28</v>
      </c>
      <c r="B19" s="8" t="s">
        <v>45</v>
      </c>
      <c r="C19" s="8" t="s">
        <v>63</v>
      </c>
      <c r="D19" s="8" t="s">
        <v>69</v>
      </c>
      <c r="E19" s="8" t="s">
        <v>11</v>
      </c>
      <c r="F19" s="8">
        <v>117</v>
      </c>
      <c r="G19" s="8">
        <v>344</v>
      </c>
      <c r="H19" s="8">
        <f t="shared" si="0"/>
        <v>40248</v>
      </c>
      <c r="I19" s="22" t="s">
        <v>81</v>
      </c>
    </row>
    <row r="20" spans="1:9" ht="15.6" thickTop="1" thickBot="1" x14ac:dyDescent="0.35">
      <c r="A20" s="11" t="s">
        <v>29</v>
      </c>
      <c r="B20" s="8" t="s">
        <v>46</v>
      </c>
      <c r="C20" s="8" t="s">
        <v>64</v>
      </c>
      <c r="D20" s="8" t="s">
        <v>69</v>
      </c>
      <c r="E20" s="8" t="s">
        <v>11</v>
      </c>
      <c r="F20" s="8">
        <v>61</v>
      </c>
      <c r="G20" s="8">
        <v>135</v>
      </c>
      <c r="H20" s="8">
        <f t="shared" si="0"/>
        <v>8235</v>
      </c>
      <c r="I20" s="22" t="s">
        <v>82</v>
      </c>
    </row>
    <row r="21" spans="1:9" ht="15.6" thickTop="1" thickBot="1" x14ac:dyDescent="0.35">
      <c r="A21" s="11" t="s">
        <v>30</v>
      </c>
      <c r="B21" s="8" t="s">
        <v>47</v>
      </c>
      <c r="C21" s="8" t="s">
        <v>65</v>
      </c>
      <c r="D21" s="8" t="s">
        <v>69</v>
      </c>
      <c r="E21" s="8" t="s">
        <v>11</v>
      </c>
      <c r="F21" s="8">
        <v>93</v>
      </c>
      <c r="G21" s="8">
        <v>480</v>
      </c>
      <c r="H21" s="8">
        <f t="shared" si="0"/>
        <v>44640</v>
      </c>
      <c r="I21" s="22" t="s">
        <v>83</v>
      </c>
    </row>
    <row r="22" spans="1:9" ht="15.6" thickTop="1" thickBot="1" x14ac:dyDescent="0.35">
      <c r="A22" s="11" t="s">
        <v>31</v>
      </c>
      <c r="B22" s="8" t="s">
        <v>48</v>
      </c>
      <c r="C22" s="8" t="s">
        <v>66</v>
      </c>
      <c r="D22" s="8" t="s">
        <v>69</v>
      </c>
      <c r="E22" s="8" t="s">
        <v>11</v>
      </c>
      <c r="F22" s="8">
        <v>89</v>
      </c>
      <c r="G22" s="8">
        <v>159</v>
      </c>
      <c r="H22" s="8">
        <f t="shared" si="0"/>
        <v>14151</v>
      </c>
      <c r="I22" s="22" t="s">
        <v>84</v>
      </c>
    </row>
    <row r="23" spans="1:9" ht="15.6" thickTop="1" thickBot="1" x14ac:dyDescent="0.35">
      <c r="A23" s="11" t="s">
        <v>32</v>
      </c>
      <c r="B23" s="8" t="s">
        <v>49</v>
      </c>
      <c r="C23" s="8" t="s">
        <v>67</v>
      </c>
      <c r="D23" s="8" t="s">
        <v>69</v>
      </c>
      <c r="E23" s="8" t="s">
        <v>11</v>
      </c>
      <c r="F23" s="8">
        <v>76</v>
      </c>
      <c r="G23" s="8">
        <v>315</v>
      </c>
      <c r="H23" s="8">
        <f t="shared" si="0"/>
        <v>23940</v>
      </c>
      <c r="I23" s="22" t="s">
        <v>85</v>
      </c>
    </row>
    <row r="24" spans="1:9" ht="15" thickTop="1" x14ac:dyDescent="0.3">
      <c r="A24" s="17" t="s">
        <v>33</v>
      </c>
      <c r="B24" s="18" t="s">
        <v>50</v>
      </c>
      <c r="C24" s="18" t="s">
        <v>68</v>
      </c>
      <c r="D24" s="18" t="s">
        <v>69</v>
      </c>
      <c r="E24" s="18" t="s">
        <v>11</v>
      </c>
      <c r="F24" s="18">
        <v>34</v>
      </c>
      <c r="G24" s="18">
        <v>241</v>
      </c>
      <c r="H24" s="18">
        <f t="shared" si="0"/>
        <v>8194</v>
      </c>
      <c r="I24" s="21" t="s">
        <v>86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16E83-165A-41D1-BA3A-5A7EDD165F94}">
  <dimension ref="A1:G14"/>
  <sheetViews>
    <sheetView showGridLines="0" workbookViewId="0">
      <selection activeCell="H5" sqref="H5"/>
    </sheetView>
  </sheetViews>
  <sheetFormatPr defaultRowHeight="14.4" x14ac:dyDescent="0.3"/>
  <cols>
    <col min="1" max="1" width="12" customWidth="1"/>
    <col min="2" max="2" width="12.33203125" customWidth="1"/>
    <col min="3" max="3" width="15.5546875" customWidth="1"/>
    <col min="4" max="4" width="13.44140625" customWidth="1"/>
    <col min="5" max="5" width="34.109375" customWidth="1"/>
    <col min="7" max="7" width="13.109375" customWidth="1"/>
  </cols>
  <sheetData>
    <row r="1" spans="1:7" x14ac:dyDescent="0.3">
      <c r="F1" s="2"/>
      <c r="G1" s="2"/>
    </row>
    <row r="2" spans="1:7" ht="21" x14ac:dyDescent="0.3">
      <c r="C2" s="24" t="s">
        <v>124</v>
      </c>
    </row>
    <row r="3" spans="1:7" ht="15" thickBot="1" x14ac:dyDescent="0.35"/>
    <row r="4" spans="1:7" ht="15" thickBot="1" x14ac:dyDescent="0.35">
      <c r="A4" s="4" t="s">
        <v>1</v>
      </c>
      <c r="B4" s="4" t="s">
        <v>116</v>
      </c>
      <c r="C4" s="4" t="s">
        <v>107</v>
      </c>
      <c r="D4" s="4" t="s">
        <v>108</v>
      </c>
      <c r="E4" s="4" t="s">
        <v>109</v>
      </c>
    </row>
    <row r="5" spans="1:7" ht="15" thickBot="1" x14ac:dyDescent="0.35">
      <c r="A5" s="3" t="s">
        <v>12</v>
      </c>
      <c r="B5" s="3" t="s">
        <v>88</v>
      </c>
      <c r="C5" s="5" t="s">
        <v>110</v>
      </c>
      <c r="D5" s="6">
        <v>46001</v>
      </c>
      <c r="E5" s="3" t="s">
        <v>89</v>
      </c>
    </row>
    <row r="6" spans="1:7" ht="15" thickBot="1" x14ac:dyDescent="0.35">
      <c r="A6" s="3" t="s">
        <v>34</v>
      </c>
      <c r="B6" s="3" t="s">
        <v>90</v>
      </c>
      <c r="C6" s="7" t="s">
        <v>91</v>
      </c>
      <c r="D6" s="6">
        <v>46002</v>
      </c>
      <c r="E6" s="3" t="s">
        <v>92</v>
      </c>
    </row>
    <row r="7" spans="1:7" ht="15" thickBot="1" x14ac:dyDescent="0.35">
      <c r="A7" s="3" t="s">
        <v>35</v>
      </c>
      <c r="B7" s="3" t="s">
        <v>93</v>
      </c>
      <c r="C7" s="5" t="s">
        <v>111</v>
      </c>
      <c r="D7" s="6">
        <v>46003</v>
      </c>
      <c r="E7" s="3" t="s">
        <v>94</v>
      </c>
    </row>
    <row r="8" spans="1:7" ht="29.4" thickBot="1" x14ac:dyDescent="0.35">
      <c r="A8" s="3" t="s">
        <v>36</v>
      </c>
      <c r="B8" s="3" t="s">
        <v>95</v>
      </c>
      <c r="C8" s="7" t="s">
        <v>114</v>
      </c>
      <c r="D8" s="6">
        <v>46004</v>
      </c>
      <c r="E8" s="3" t="s">
        <v>96</v>
      </c>
    </row>
    <row r="9" spans="1:7" ht="15" thickBot="1" x14ac:dyDescent="0.35">
      <c r="A9" s="3" t="s">
        <v>37</v>
      </c>
      <c r="B9" s="3" t="s">
        <v>90</v>
      </c>
      <c r="C9" s="7" t="s">
        <v>97</v>
      </c>
      <c r="D9" s="6">
        <v>46005</v>
      </c>
      <c r="E9" s="3" t="s">
        <v>92</v>
      </c>
    </row>
    <row r="10" spans="1:7" ht="15" thickBot="1" x14ac:dyDescent="0.35">
      <c r="A10" s="3" t="s">
        <v>9</v>
      </c>
      <c r="B10" s="3" t="s">
        <v>90</v>
      </c>
      <c r="C10" s="7" t="s">
        <v>98</v>
      </c>
      <c r="D10" s="6">
        <v>46006</v>
      </c>
      <c r="E10" s="3" t="s">
        <v>92</v>
      </c>
    </row>
    <row r="11" spans="1:7" ht="15" thickBot="1" x14ac:dyDescent="0.35">
      <c r="A11" s="3" t="s">
        <v>42</v>
      </c>
      <c r="B11" s="3" t="s">
        <v>88</v>
      </c>
      <c r="C11" s="5" t="s">
        <v>112</v>
      </c>
      <c r="D11" s="6">
        <v>46007</v>
      </c>
      <c r="E11" s="3" t="s">
        <v>99</v>
      </c>
    </row>
    <row r="12" spans="1:7" ht="15" thickBot="1" x14ac:dyDescent="0.35">
      <c r="A12" s="3" t="s">
        <v>45</v>
      </c>
      <c r="B12" s="3" t="s">
        <v>100</v>
      </c>
      <c r="C12" s="5" t="s">
        <v>113</v>
      </c>
      <c r="D12" s="6">
        <v>46008</v>
      </c>
      <c r="E12" s="3" t="s">
        <v>101</v>
      </c>
    </row>
    <row r="13" spans="1:7" ht="29.4" thickBot="1" x14ac:dyDescent="0.35">
      <c r="A13" s="3" t="s">
        <v>46</v>
      </c>
      <c r="B13" s="3" t="s">
        <v>102</v>
      </c>
      <c r="C13" s="7" t="s">
        <v>103</v>
      </c>
      <c r="D13" s="6">
        <v>46009</v>
      </c>
      <c r="E13" s="3" t="s">
        <v>104</v>
      </c>
    </row>
    <row r="14" spans="1:7" ht="29.4" thickBot="1" x14ac:dyDescent="0.35">
      <c r="A14" s="3" t="s">
        <v>48</v>
      </c>
      <c r="B14" s="3" t="s">
        <v>105</v>
      </c>
      <c r="C14" s="7" t="s">
        <v>115</v>
      </c>
      <c r="D14" s="6">
        <v>46010</v>
      </c>
      <c r="E14" s="3" t="s">
        <v>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5B1E9-6FF2-406D-9D66-CD8A5B100DCA}">
  <dimension ref="A2:O24"/>
  <sheetViews>
    <sheetView showGridLines="0" tabSelected="1" workbookViewId="0">
      <pane xSplit="1" topLeftCell="B1" activePane="topRight" state="frozen"/>
      <selection pane="topRight" activeCell="A4" sqref="A4:L4"/>
    </sheetView>
  </sheetViews>
  <sheetFormatPr defaultRowHeight="14.4" x14ac:dyDescent="0.3"/>
  <cols>
    <col min="1" max="1" width="16.21875" customWidth="1"/>
    <col min="2" max="2" width="14.77734375" customWidth="1"/>
    <col min="3" max="3" width="15.6640625" customWidth="1"/>
    <col min="4" max="4" width="12.6640625" customWidth="1"/>
    <col min="5" max="5" width="11.88671875" customWidth="1"/>
    <col min="6" max="6" width="29.6640625" customWidth="1"/>
    <col min="7" max="7" width="21.88671875" customWidth="1"/>
    <col min="8" max="8" width="17.109375" customWidth="1"/>
    <col min="9" max="9" width="22.109375" customWidth="1"/>
    <col min="10" max="10" width="21.88671875" customWidth="1"/>
    <col min="11" max="11" width="16.77734375" customWidth="1"/>
    <col min="12" max="12" width="21" customWidth="1"/>
    <col min="16" max="16" width="10.109375" customWidth="1"/>
  </cols>
  <sheetData>
    <row r="2" spans="1:15" ht="23.4" x14ac:dyDescent="0.3">
      <c r="F2" s="23" t="s">
        <v>123</v>
      </c>
    </row>
    <row r="4" spans="1:15" ht="15" thickBot="1" x14ac:dyDescent="0.35">
      <c r="A4" s="29" t="s">
        <v>0</v>
      </c>
      <c r="B4" s="30" t="s">
        <v>1</v>
      </c>
      <c r="C4" s="30" t="s">
        <v>2</v>
      </c>
      <c r="D4" s="30" t="s">
        <v>3</v>
      </c>
      <c r="E4" s="30" t="s">
        <v>4</v>
      </c>
      <c r="F4" s="31" t="s">
        <v>87</v>
      </c>
      <c r="G4" s="30" t="s">
        <v>117</v>
      </c>
      <c r="H4" s="30" t="s">
        <v>118</v>
      </c>
      <c r="I4" s="30" t="s">
        <v>119</v>
      </c>
      <c r="J4" s="30" t="s">
        <v>122</v>
      </c>
      <c r="K4" s="30" t="s">
        <v>120</v>
      </c>
      <c r="L4" s="32" t="s">
        <v>121</v>
      </c>
    </row>
    <row r="5" spans="1:15" ht="15.6" thickTop="1" thickBot="1" x14ac:dyDescent="0.35">
      <c r="A5" s="11" t="s">
        <v>15</v>
      </c>
      <c r="B5" s="8" t="s">
        <v>12</v>
      </c>
      <c r="C5" s="8" t="s">
        <v>13</v>
      </c>
      <c r="D5" s="8" t="s">
        <v>14</v>
      </c>
      <c r="E5" s="8" t="s">
        <v>11</v>
      </c>
      <c r="F5" s="8" t="s">
        <v>70</v>
      </c>
      <c r="G5" s="8">
        <v>22</v>
      </c>
      <c r="H5" s="8">
        <v>2189</v>
      </c>
      <c r="I5" s="8">
        <f t="shared" ref="I5:I24" si="0">G5*H5</f>
        <v>48158</v>
      </c>
      <c r="J5" s="9">
        <f>G5*2</f>
        <v>44</v>
      </c>
      <c r="K5" s="9">
        <f>H5/2</f>
        <v>1094.5</v>
      </c>
      <c r="L5" s="12">
        <f>J5*K5</f>
        <v>48158</v>
      </c>
    </row>
    <row r="6" spans="1:15" ht="15.6" thickTop="1" thickBot="1" x14ac:dyDescent="0.35">
      <c r="A6" s="11" t="s">
        <v>16</v>
      </c>
      <c r="B6" s="8" t="s">
        <v>34</v>
      </c>
      <c r="C6" s="8" t="s">
        <v>51</v>
      </c>
      <c r="D6" s="8" t="s">
        <v>14</v>
      </c>
      <c r="E6" s="8" t="s">
        <v>11</v>
      </c>
      <c r="F6" s="8" t="s">
        <v>71</v>
      </c>
      <c r="G6" s="8">
        <v>58</v>
      </c>
      <c r="H6" s="8">
        <v>2805</v>
      </c>
      <c r="I6" s="8">
        <f t="shared" si="0"/>
        <v>162690</v>
      </c>
      <c r="J6" s="9">
        <v>58</v>
      </c>
      <c r="K6" s="9">
        <v>2805</v>
      </c>
      <c r="L6" s="12">
        <f>I6+(25*G6)</f>
        <v>164140</v>
      </c>
    </row>
    <row r="7" spans="1:15" ht="15.6" thickTop="1" thickBot="1" x14ac:dyDescent="0.35">
      <c r="A7" s="11" t="s">
        <v>17</v>
      </c>
      <c r="B7" s="8" t="s">
        <v>35</v>
      </c>
      <c r="C7" s="8" t="s">
        <v>52</v>
      </c>
      <c r="D7" s="8" t="s">
        <v>14</v>
      </c>
      <c r="E7" s="8" t="s">
        <v>11</v>
      </c>
      <c r="F7" s="8" t="s">
        <v>72</v>
      </c>
      <c r="G7" s="8">
        <v>116</v>
      </c>
      <c r="H7" s="8">
        <v>3113</v>
      </c>
      <c r="I7" s="8">
        <f t="shared" si="0"/>
        <v>361108</v>
      </c>
      <c r="J7" s="9">
        <f>G7*2</f>
        <v>232</v>
      </c>
      <c r="K7" s="9">
        <f>H7/2</f>
        <v>1556.5</v>
      </c>
      <c r="L7" s="12">
        <f>J7*K7</f>
        <v>361108</v>
      </c>
    </row>
    <row r="8" spans="1:15" ht="15.6" thickTop="1" thickBot="1" x14ac:dyDescent="0.35">
      <c r="A8" s="11" t="s">
        <v>18</v>
      </c>
      <c r="B8" s="8" t="s">
        <v>36</v>
      </c>
      <c r="C8" s="8" t="s">
        <v>53</v>
      </c>
      <c r="D8" s="8" t="s">
        <v>14</v>
      </c>
      <c r="E8" s="8" t="s">
        <v>11</v>
      </c>
      <c r="F8" s="8" t="s">
        <v>73</v>
      </c>
      <c r="G8" s="8">
        <v>100</v>
      </c>
      <c r="H8" s="8">
        <v>1506</v>
      </c>
      <c r="I8" s="8">
        <f t="shared" si="0"/>
        <v>150600</v>
      </c>
      <c r="J8" s="9">
        <f>G8+(G8*3/10)</f>
        <v>130</v>
      </c>
      <c r="K8" s="9">
        <v>1506</v>
      </c>
      <c r="L8" s="12">
        <f>J8*K8</f>
        <v>195780</v>
      </c>
    </row>
    <row r="9" spans="1:15" ht="15.6" thickTop="1" thickBot="1" x14ac:dyDescent="0.35">
      <c r="A9" s="11" t="s">
        <v>19</v>
      </c>
      <c r="B9" s="8" t="s">
        <v>37</v>
      </c>
      <c r="C9" s="8" t="s">
        <v>54</v>
      </c>
      <c r="D9" s="8" t="s">
        <v>14</v>
      </c>
      <c r="E9" s="8" t="s">
        <v>11</v>
      </c>
      <c r="F9" s="8" t="s">
        <v>71</v>
      </c>
      <c r="G9" s="8">
        <v>57</v>
      </c>
      <c r="H9" s="8">
        <v>2267</v>
      </c>
      <c r="I9" s="8">
        <f t="shared" si="0"/>
        <v>129219</v>
      </c>
      <c r="J9" s="9">
        <v>57</v>
      </c>
      <c r="K9" s="9">
        <v>2267</v>
      </c>
      <c r="L9" s="13">
        <f>I9+(18*G9)</f>
        <v>130245</v>
      </c>
    </row>
    <row r="10" spans="1:15" ht="15.6" thickTop="1" thickBot="1" x14ac:dyDescent="0.35">
      <c r="A10" s="11" t="s">
        <v>20</v>
      </c>
      <c r="B10" s="8" t="s">
        <v>20</v>
      </c>
      <c r="C10" s="8" t="s">
        <v>55</v>
      </c>
      <c r="D10" s="8" t="s">
        <v>14</v>
      </c>
      <c r="E10" s="8" t="s">
        <v>11</v>
      </c>
      <c r="F10" s="8" t="s">
        <v>74</v>
      </c>
      <c r="G10" s="8">
        <v>27</v>
      </c>
      <c r="H10" s="8">
        <v>1118</v>
      </c>
      <c r="I10" s="8">
        <f t="shared" si="0"/>
        <v>30186</v>
      </c>
      <c r="J10" s="9">
        <v>27</v>
      </c>
      <c r="K10" s="9">
        <v>1118</v>
      </c>
      <c r="L10" s="12">
        <f>J10*K10</f>
        <v>30186</v>
      </c>
      <c r="O10" s="1"/>
    </row>
    <row r="11" spans="1:15" ht="15.6" thickTop="1" thickBot="1" x14ac:dyDescent="0.35">
      <c r="A11" s="11" t="s">
        <v>21</v>
      </c>
      <c r="B11" s="8" t="s">
        <v>38</v>
      </c>
      <c r="C11" s="8" t="s">
        <v>56</v>
      </c>
      <c r="D11" s="8" t="s">
        <v>14</v>
      </c>
      <c r="E11" s="8" t="s">
        <v>11</v>
      </c>
      <c r="F11" s="8" t="s">
        <v>72</v>
      </c>
      <c r="G11" s="8">
        <v>76</v>
      </c>
      <c r="H11" s="8">
        <v>3060</v>
      </c>
      <c r="I11" s="8">
        <f t="shared" si="0"/>
        <v>232560</v>
      </c>
      <c r="J11" s="8">
        <v>76</v>
      </c>
      <c r="K11" s="8">
        <v>3060</v>
      </c>
      <c r="L11" s="14">
        <v>232560</v>
      </c>
    </row>
    <row r="12" spans="1:15" ht="15.6" thickTop="1" thickBot="1" x14ac:dyDescent="0.35">
      <c r="A12" s="11" t="s">
        <v>22</v>
      </c>
      <c r="B12" s="8" t="s">
        <v>39</v>
      </c>
      <c r="C12" s="8" t="s">
        <v>57</v>
      </c>
      <c r="D12" s="8" t="s">
        <v>14</v>
      </c>
      <c r="E12" s="8" t="s">
        <v>11</v>
      </c>
      <c r="F12" s="8" t="s">
        <v>75</v>
      </c>
      <c r="G12" s="8">
        <v>40</v>
      </c>
      <c r="H12" s="8">
        <v>1289</v>
      </c>
      <c r="I12" s="8">
        <f t="shared" si="0"/>
        <v>51560</v>
      </c>
      <c r="J12" s="8">
        <v>40</v>
      </c>
      <c r="K12" s="8">
        <v>1289</v>
      </c>
      <c r="L12" s="14">
        <v>51560</v>
      </c>
    </row>
    <row r="13" spans="1:15" ht="15.6" thickTop="1" thickBot="1" x14ac:dyDescent="0.35">
      <c r="A13" s="11" t="s">
        <v>23</v>
      </c>
      <c r="B13" s="8" t="s">
        <v>40</v>
      </c>
      <c r="C13" s="8" t="s">
        <v>58</v>
      </c>
      <c r="D13" s="8" t="s">
        <v>14</v>
      </c>
      <c r="E13" s="8" t="s">
        <v>11</v>
      </c>
      <c r="F13" s="8" t="s">
        <v>76</v>
      </c>
      <c r="G13" s="8">
        <v>64</v>
      </c>
      <c r="H13" s="8">
        <v>2819</v>
      </c>
      <c r="I13" s="8">
        <f t="shared" si="0"/>
        <v>180416</v>
      </c>
      <c r="J13" s="8">
        <v>64</v>
      </c>
      <c r="K13" s="8">
        <v>2819</v>
      </c>
      <c r="L13" s="14">
        <v>180416</v>
      </c>
    </row>
    <row r="14" spans="1:15" ht="15.6" thickTop="1" thickBot="1" x14ac:dyDescent="0.35">
      <c r="A14" s="11" t="s">
        <v>24</v>
      </c>
      <c r="B14" s="8" t="s">
        <v>41</v>
      </c>
      <c r="C14" s="8" t="s">
        <v>59</v>
      </c>
      <c r="D14" s="8" t="s">
        <v>14</v>
      </c>
      <c r="E14" s="8" t="s">
        <v>11</v>
      </c>
      <c r="F14" s="8" t="s">
        <v>71</v>
      </c>
      <c r="G14" s="8">
        <v>43</v>
      </c>
      <c r="H14" s="8">
        <v>3203</v>
      </c>
      <c r="I14" s="8">
        <f t="shared" si="0"/>
        <v>137729</v>
      </c>
      <c r="J14" s="8">
        <v>43</v>
      </c>
      <c r="K14" s="8">
        <v>3203</v>
      </c>
      <c r="L14" s="14">
        <v>137729</v>
      </c>
    </row>
    <row r="15" spans="1:15" ht="15.6" thickTop="1" thickBot="1" x14ac:dyDescent="0.35">
      <c r="A15" s="11" t="s">
        <v>8</v>
      </c>
      <c r="B15" s="8" t="s">
        <v>9</v>
      </c>
      <c r="C15" s="8" t="s">
        <v>10</v>
      </c>
      <c r="D15" s="8" t="s">
        <v>69</v>
      </c>
      <c r="E15" s="8" t="s">
        <v>11</v>
      </c>
      <c r="F15" s="8" t="s">
        <v>77</v>
      </c>
      <c r="G15" s="8">
        <v>117</v>
      </c>
      <c r="H15" s="8">
        <v>223</v>
      </c>
      <c r="I15" s="8">
        <f t="shared" si="0"/>
        <v>26091</v>
      </c>
      <c r="J15" s="10">
        <v>117</v>
      </c>
      <c r="K15" s="10">
        <v>223</v>
      </c>
      <c r="L15" s="15">
        <f>I15+(10*G15)</f>
        <v>27261</v>
      </c>
    </row>
    <row r="16" spans="1:15" ht="15.6" thickTop="1" thickBot="1" x14ac:dyDescent="0.35">
      <c r="A16" s="11" t="s">
        <v>25</v>
      </c>
      <c r="B16" s="8" t="s">
        <v>42</v>
      </c>
      <c r="C16" s="8" t="s">
        <v>60</v>
      </c>
      <c r="D16" s="8" t="s">
        <v>69</v>
      </c>
      <c r="E16" s="8" t="s">
        <v>11</v>
      </c>
      <c r="F16" s="8" t="s">
        <v>78</v>
      </c>
      <c r="G16" s="8">
        <v>74</v>
      </c>
      <c r="H16" s="8">
        <v>367</v>
      </c>
      <c r="I16" s="8">
        <f t="shared" si="0"/>
        <v>27158</v>
      </c>
      <c r="J16" s="10">
        <f>G16*3</f>
        <v>222</v>
      </c>
      <c r="K16" s="10">
        <f>H16/3</f>
        <v>122.33333333333333</v>
      </c>
      <c r="L16" s="15">
        <f>J16*K16</f>
        <v>27158</v>
      </c>
    </row>
    <row r="17" spans="1:12" ht="15.6" thickTop="1" thickBot="1" x14ac:dyDescent="0.35">
      <c r="A17" s="11" t="s">
        <v>26</v>
      </c>
      <c r="B17" s="8" t="s">
        <v>43</v>
      </c>
      <c r="C17" s="8" t="s">
        <v>61</v>
      </c>
      <c r="D17" s="8" t="s">
        <v>69</v>
      </c>
      <c r="E17" s="8" t="s">
        <v>11</v>
      </c>
      <c r="F17" s="8" t="s">
        <v>79</v>
      </c>
      <c r="G17" s="8">
        <v>37</v>
      </c>
      <c r="H17" s="8">
        <v>452</v>
      </c>
      <c r="I17" s="8">
        <f t="shared" si="0"/>
        <v>16724</v>
      </c>
      <c r="J17" s="8">
        <v>37</v>
      </c>
      <c r="K17" s="8">
        <v>452</v>
      </c>
      <c r="L17" s="16">
        <v>16724</v>
      </c>
    </row>
    <row r="18" spans="1:12" ht="15.6" thickTop="1" thickBot="1" x14ac:dyDescent="0.35">
      <c r="A18" s="11" t="s">
        <v>27</v>
      </c>
      <c r="B18" s="8" t="s">
        <v>44</v>
      </c>
      <c r="C18" s="8" t="s">
        <v>62</v>
      </c>
      <c r="D18" s="8" t="s">
        <v>69</v>
      </c>
      <c r="E18" s="8" t="s">
        <v>11</v>
      </c>
      <c r="F18" s="8" t="s">
        <v>80</v>
      </c>
      <c r="G18" s="8">
        <v>37</v>
      </c>
      <c r="H18" s="8">
        <v>540</v>
      </c>
      <c r="I18" s="8">
        <f t="shared" si="0"/>
        <v>19980</v>
      </c>
      <c r="J18" s="8">
        <v>37</v>
      </c>
      <c r="K18" s="8">
        <v>540</v>
      </c>
      <c r="L18" s="16">
        <v>19980</v>
      </c>
    </row>
    <row r="19" spans="1:12" ht="15.6" thickTop="1" thickBot="1" x14ac:dyDescent="0.35">
      <c r="A19" s="11" t="s">
        <v>28</v>
      </c>
      <c r="B19" s="8" t="s">
        <v>45</v>
      </c>
      <c r="C19" s="8" t="s">
        <v>63</v>
      </c>
      <c r="D19" s="8" t="s">
        <v>69</v>
      </c>
      <c r="E19" s="8" t="s">
        <v>11</v>
      </c>
      <c r="F19" s="8" t="s">
        <v>81</v>
      </c>
      <c r="G19" s="8">
        <v>117</v>
      </c>
      <c r="H19" s="8">
        <v>344</v>
      </c>
      <c r="I19" s="8">
        <f t="shared" si="0"/>
        <v>40248</v>
      </c>
      <c r="J19" s="10">
        <f>G19/5</f>
        <v>23.4</v>
      </c>
      <c r="K19" s="10">
        <f>H19*5</f>
        <v>1720</v>
      </c>
      <c r="L19" s="15">
        <f>J19*K19</f>
        <v>40248</v>
      </c>
    </row>
    <row r="20" spans="1:12" ht="15.6" thickTop="1" thickBot="1" x14ac:dyDescent="0.35">
      <c r="A20" s="11" t="s">
        <v>29</v>
      </c>
      <c r="B20" s="8" t="s">
        <v>46</v>
      </c>
      <c r="C20" s="8" t="s">
        <v>64</v>
      </c>
      <c r="D20" s="8" t="s">
        <v>69</v>
      </c>
      <c r="E20" s="8" t="s">
        <v>11</v>
      </c>
      <c r="F20" s="8" t="s">
        <v>82</v>
      </c>
      <c r="G20" s="8">
        <v>61</v>
      </c>
      <c r="H20" s="8">
        <v>135</v>
      </c>
      <c r="I20" s="8">
        <f t="shared" si="0"/>
        <v>8235</v>
      </c>
      <c r="J20" s="10">
        <v>61</v>
      </c>
      <c r="K20" s="10">
        <v>135</v>
      </c>
      <c r="L20" s="15">
        <v>8235</v>
      </c>
    </row>
    <row r="21" spans="1:12" ht="15.6" thickTop="1" thickBot="1" x14ac:dyDescent="0.35">
      <c r="A21" s="11" t="s">
        <v>30</v>
      </c>
      <c r="B21" s="8" t="s">
        <v>47</v>
      </c>
      <c r="C21" s="8" t="s">
        <v>65</v>
      </c>
      <c r="D21" s="8" t="s">
        <v>69</v>
      </c>
      <c r="E21" s="8" t="s">
        <v>11</v>
      </c>
      <c r="F21" s="8" t="s">
        <v>83</v>
      </c>
      <c r="G21" s="8">
        <v>93</v>
      </c>
      <c r="H21" s="8">
        <v>480</v>
      </c>
      <c r="I21" s="8">
        <f t="shared" si="0"/>
        <v>44640</v>
      </c>
      <c r="J21" s="8">
        <v>93</v>
      </c>
      <c r="K21" s="8">
        <v>480</v>
      </c>
      <c r="L21" s="16">
        <v>44640</v>
      </c>
    </row>
    <row r="22" spans="1:12" ht="15.6" thickTop="1" thickBot="1" x14ac:dyDescent="0.35">
      <c r="A22" s="11" t="s">
        <v>31</v>
      </c>
      <c r="B22" s="8" t="s">
        <v>48</v>
      </c>
      <c r="C22" s="8" t="s">
        <v>66</v>
      </c>
      <c r="D22" s="8" t="s">
        <v>69</v>
      </c>
      <c r="E22" s="8" t="s">
        <v>11</v>
      </c>
      <c r="F22" s="8" t="s">
        <v>84</v>
      </c>
      <c r="G22" s="8">
        <v>89</v>
      </c>
      <c r="H22" s="8">
        <v>159</v>
      </c>
      <c r="I22" s="8">
        <f t="shared" si="0"/>
        <v>14151</v>
      </c>
      <c r="J22" s="10">
        <f>I24/H22+G22</f>
        <v>140.53459119496856</v>
      </c>
      <c r="K22" s="10">
        <v>159</v>
      </c>
      <c r="L22" s="15">
        <f>J22*K22</f>
        <v>22345</v>
      </c>
    </row>
    <row r="23" spans="1:12" ht="15.6" thickTop="1" thickBot="1" x14ac:dyDescent="0.35">
      <c r="A23" s="11" t="s">
        <v>32</v>
      </c>
      <c r="B23" s="8" t="s">
        <v>49</v>
      </c>
      <c r="C23" s="8" t="s">
        <v>67</v>
      </c>
      <c r="D23" s="8" t="s">
        <v>69</v>
      </c>
      <c r="E23" s="8" t="s">
        <v>11</v>
      </c>
      <c r="F23" s="8" t="s">
        <v>85</v>
      </c>
      <c r="G23" s="8">
        <v>76</v>
      </c>
      <c r="H23" s="8">
        <v>315</v>
      </c>
      <c r="I23" s="8">
        <f t="shared" si="0"/>
        <v>23940</v>
      </c>
      <c r="J23" s="8">
        <v>76</v>
      </c>
      <c r="K23" s="8">
        <v>315</v>
      </c>
      <c r="L23" s="16">
        <v>23940</v>
      </c>
    </row>
    <row r="24" spans="1:12" ht="15" thickTop="1" x14ac:dyDescent="0.3">
      <c r="A24" s="17" t="s">
        <v>33</v>
      </c>
      <c r="B24" s="18" t="s">
        <v>50</v>
      </c>
      <c r="C24" s="18" t="s">
        <v>68</v>
      </c>
      <c r="D24" s="18" t="s">
        <v>69</v>
      </c>
      <c r="E24" s="18" t="s">
        <v>11</v>
      </c>
      <c r="F24" s="18" t="s">
        <v>86</v>
      </c>
      <c r="G24" s="18">
        <v>34</v>
      </c>
      <c r="H24" s="18">
        <v>241</v>
      </c>
      <c r="I24" s="18">
        <f t="shared" si="0"/>
        <v>8194</v>
      </c>
      <c r="J24" s="19">
        <v>0</v>
      </c>
      <c r="K24" s="19">
        <v>0</v>
      </c>
      <c r="L24" s="20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Before Corporate Actions</vt:lpstr>
      <vt:lpstr>Corporate Actions</vt:lpstr>
      <vt:lpstr>After Corporate Action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Charan kumar Donthula</dc:creator>
  <cp:lastModifiedBy>Charan kumar Donthula</cp:lastModifiedBy>
  <dcterms:created xsi:type="dcterms:W3CDTF">2025-11-27T17:06:52Z</dcterms:created>
  <dcterms:modified xsi:type="dcterms:W3CDTF">2025-11-28T10:51:39Z</dcterms:modified>
</cp:coreProperties>
</file>